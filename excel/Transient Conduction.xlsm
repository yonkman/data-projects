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C:\Users\yonkm\Desktop\Downloads\"/>
    </mc:Choice>
  </mc:AlternateContent>
  <xr:revisionPtr revIDLastSave="0" documentId="13_ncr:1_{1FB67083-5398-4E9F-8978-D1D9BE666876}" xr6:coauthVersionLast="40" xr6:coauthVersionMax="40" xr10:uidLastSave="{00000000-0000-0000-0000-000000000000}"/>
  <bookViews>
    <workbookView xWindow="-120" yWindow="-120" windowWidth="20730" windowHeight="11160" xr2:uid="{00000000-000D-0000-FFFF-FFFF00000000}"/>
  </bookViews>
  <sheets>
    <sheet name="Notes" sheetId="2" r:id="rId1"/>
    <sheet name="Sim" sheetId="1" r:id="rId2"/>
  </sheets>
  <calcPr calcId="191029" calcMode="manual" iterate="1" iterate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D12" i="1" l="1"/>
  <c r="AD7" i="1" l="1"/>
  <c r="AD4" i="1" l="1"/>
  <c r="AD6" i="1"/>
  <c r="AD3" i="1" s="1"/>
  <c r="B1" i="1"/>
  <c r="B2" i="1"/>
  <c r="D2" i="1"/>
  <c r="E2" i="1"/>
  <c r="F2" i="1"/>
  <c r="G2" i="1"/>
  <c r="D3" i="1"/>
  <c r="E3" i="1"/>
  <c r="F3" i="1"/>
  <c r="G3" i="1"/>
  <c r="D4" i="1"/>
  <c r="E4" i="1"/>
  <c r="F4" i="1"/>
  <c r="G4" i="1"/>
  <c r="D5" i="1"/>
  <c r="E5" i="1"/>
  <c r="F5" i="1"/>
  <c r="G5" i="1"/>
  <c r="D6" i="1"/>
  <c r="E6" i="1"/>
  <c r="F6" i="1"/>
  <c r="G6" i="1"/>
  <c r="D7" i="1"/>
  <c r="E7" i="1"/>
  <c r="F7" i="1"/>
  <c r="G7" i="1"/>
  <c r="D8" i="1"/>
  <c r="E8" i="1"/>
  <c r="F8" i="1"/>
  <c r="G8" i="1"/>
  <c r="D9" i="1"/>
  <c r="E9" i="1"/>
  <c r="F9" i="1"/>
  <c r="G9" i="1"/>
  <c r="D10" i="1"/>
  <c r="E10" i="1"/>
  <c r="F10" i="1"/>
  <c r="G10" i="1"/>
  <c r="D11" i="1"/>
  <c r="E11" i="1"/>
  <c r="F11" i="1"/>
  <c r="G11" i="1"/>
  <c r="D12" i="1"/>
  <c r="E12" i="1"/>
  <c r="F12" i="1"/>
  <c r="G12" i="1"/>
  <c r="E13" i="1"/>
  <c r="F13" i="1"/>
  <c r="E14" i="1"/>
  <c r="E15" i="1"/>
</calcChain>
</file>

<file path=xl/sharedStrings.xml><?xml version="1.0" encoding="utf-8"?>
<sst xmlns="http://schemas.openxmlformats.org/spreadsheetml/2006/main" count="55" uniqueCount="49">
  <si>
    <t>k</t>
  </si>
  <si>
    <t>W/mK</t>
  </si>
  <si>
    <r>
      <t>m</t>
    </r>
    <r>
      <rPr>
        <vertAlign val="superscript"/>
        <sz val="11"/>
        <color theme="1"/>
        <rFont val="Calibri"/>
        <family val="2"/>
        <scheme val="minor"/>
      </rPr>
      <t>2</t>
    </r>
  </si>
  <si>
    <t>Cross-sectional area</t>
  </si>
  <si>
    <t>Thermal conductivity</t>
  </si>
  <si>
    <t>x</t>
  </si>
  <si>
    <t>K</t>
  </si>
  <si>
    <t>Specific heat</t>
  </si>
  <si>
    <t>c</t>
  </si>
  <si>
    <t>J/kgK</t>
  </si>
  <si>
    <t>i =</t>
  </si>
  <si>
    <t>↓</t>
  </si>
  <si>
    <t>Iterative time-step</t>
  </si>
  <si>
    <t>s</t>
  </si>
  <si>
    <r>
      <t>Q</t>
    </r>
    <r>
      <rPr>
        <vertAlign val="subscript"/>
        <sz val="11"/>
        <color theme="1"/>
        <rFont val="Calibri"/>
        <family val="2"/>
        <scheme val="minor"/>
      </rPr>
      <t>̇in</t>
    </r>
  </si>
  <si>
    <t>W</t>
  </si>
  <si>
    <t>Heat source at x = 0</t>
  </si>
  <si>
    <t>Δt</t>
  </si>
  <si>
    <t>Density</t>
  </si>
  <si>
    <r>
      <t>T</t>
    </r>
    <r>
      <rPr>
        <vertAlign val="subscript"/>
        <sz val="11"/>
        <color theme="1"/>
        <rFont val="Calibri"/>
        <family val="2"/>
      </rPr>
      <t>ꝏ</t>
    </r>
    <r>
      <rPr>
        <sz val="11"/>
        <color theme="1"/>
        <rFont val="Calibri"/>
        <family val="2"/>
        <scheme val="minor"/>
      </rPr>
      <t>, T</t>
    </r>
    <r>
      <rPr>
        <vertAlign val="subscript"/>
        <sz val="11"/>
        <color theme="1"/>
        <rFont val="Calibri"/>
        <family val="2"/>
        <scheme val="minor"/>
      </rPr>
      <t>i</t>
    </r>
  </si>
  <si>
    <t>Surface convection coefficient</t>
  </si>
  <si>
    <t>h</t>
  </si>
  <si>
    <r>
      <t>W/m</t>
    </r>
    <r>
      <rPr>
        <vertAlign val="superscript"/>
        <sz val="11"/>
        <color theme="1"/>
        <rFont val="Calibri"/>
        <family val="2"/>
        <scheme val="minor"/>
      </rPr>
      <t>2</t>
    </r>
    <r>
      <rPr>
        <sz val="11"/>
        <color theme="1"/>
        <rFont val="Calibri"/>
        <family val="2"/>
        <scheme val="minor"/>
      </rPr>
      <t>K</t>
    </r>
  </si>
  <si>
    <t>Diameter</t>
  </si>
  <si>
    <t>d</t>
  </si>
  <si>
    <t>--&gt;</t>
  </si>
  <si>
    <t>m</t>
  </si>
  <si>
    <t>ρ</t>
  </si>
  <si>
    <r>
      <t>kg/m</t>
    </r>
    <r>
      <rPr>
        <vertAlign val="superscript"/>
        <sz val="11"/>
        <color theme="1"/>
        <rFont val="Calibri"/>
        <family val="2"/>
        <scheme val="minor"/>
      </rPr>
      <t>3</t>
    </r>
  </si>
  <si>
    <t>Diffusivity</t>
  </si>
  <si>
    <r>
      <t>m</t>
    </r>
    <r>
      <rPr>
        <vertAlign val="superscript"/>
        <sz val="11"/>
        <color theme="1"/>
        <rFont val="Calibri"/>
        <family val="2"/>
        <scheme val="minor"/>
      </rPr>
      <t>2</t>
    </r>
    <r>
      <rPr>
        <sz val="11"/>
        <color theme="1"/>
        <rFont val="Calibri"/>
        <family val="2"/>
        <scheme val="minor"/>
      </rPr>
      <t>/s</t>
    </r>
  </si>
  <si>
    <r>
      <rPr>
        <sz val="11"/>
        <color theme="1"/>
        <rFont val="Calibri"/>
        <family val="2"/>
        <scheme val="minor"/>
      </rPr>
      <t>t</t>
    </r>
    <r>
      <rPr>
        <vertAlign val="subscript"/>
        <sz val="11"/>
        <color theme="1"/>
        <rFont val="Calibri"/>
        <family val="2"/>
        <scheme val="minor"/>
      </rPr>
      <t>stop</t>
    </r>
  </si>
  <si>
    <t>Stop at</t>
  </si>
  <si>
    <t>Temperature of environment</t>
  </si>
  <si>
    <r>
      <t>Slice area exposed to T</t>
    </r>
    <r>
      <rPr>
        <vertAlign val="subscript"/>
        <sz val="11"/>
        <color theme="1"/>
        <rFont val="Calibri"/>
        <family val="2"/>
        <scheme val="minor"/>
      </rPr>
      <t>ꝏ</t>
    </r>
  </si>
  <si>
    <r>
      <t>A</t>
    </r>
    <r>
      <rPr>
        <vertAlign val="subscript"/>
        <sz val="11"/>
        <color theme="1"/>
        <rFont val="Calibri"/>
        <family val="2"/>
        <scheme val="minor"/>
      </rPr>
      <t>s</t>
    </r>
  </si>
  <si>
    <r>
      <t>A</t>
    </r>
    <r>
      <rPr>
        <vertAlign val="subscript"/>
        <sz val="11"/>
        <color theme="1"/>
        <rFont val="Calibri"/>
        <family val="2"/>
        <scheme val="minor"/>
      </rPr>
      <t>x</t>
    </r>
  </si>
  <si>
    <t>Heat capacity of slice</t>
  </si>
  <si>
    <t>C</t>
  </si>
  <si>
    <t>J/K</t>
  </si>
  <si>
    <r>
      <t>t</t>
    </r>
    <r>
      <rPr>
        <vertAlign val="subscript"/>
        <sz val="11"/>
        <color theme="1"/>
        <rFont val="Calibri"/>
        <family val="2"/>
        <scheme val="minor"/>
      </rPr>
      <t>i</t>
    </r>
    <r>
      <rPr>
        <sz val="11"/>
        <color theme="1"/>
        <rFont val="Calibri"/>
        <family val="2"/>
        <scheme val="minor"/>
      </rPr>
      <t xml:space="preserve"> =</t>
    </r>
  </si>
  <si>
    <t>(K)</t>
  </si>
  <si>
    <r>
      <rPr>
        <sz val="11"/>
        <color theme="1"/>
        <rFont val="Calibri"/>
        <family val="2"/>
        <scheme val="minor"/>
      </rPr>
      <t>i</t>
    </r>
    <r>
      <rPr>
        <vertAlign val="subscript"/>
        <sz val="11"/>
        <color theme="1"/>
        <rFont val="Calibri"/>
        <family val="2"/>
        <scheme val="minor"/>
      </rPr>
      <t>stop</t>
    </r>
  </si>
  <si>
    <t>dU/dt</t>
  </si>
  <si>
    <r>
      <t>T(x, t</t>
    </r>
    <r>
      <rPr>
        <b/>
        <vertAlign val="subscript"/>
        <sz val="11"/>
        <color theme="1"/>
        <rFont val="Calibri"/>
        <family val="2"/>
        <scheme val="minor"/>
      </rPr>
      <t>i-1</t>
    </r>
    <r>
      <rPr>
        <b/>
        <sz val="11"/>
        <color theme="1"/>
        <rFont val="Calibri"/>
        <family val="2"/>
        <scheme val="minor"/>
      </rPr>
      <t>)</t>
    </r>
  </si>
  <si>
    <r>
      <t>Q</t>
    </r>
    <r>
      <rPr>
        <b/>
        <vertAlign val="subscript"/>
        <sz val="11"/>
        <color theme="1"/>
        <rFont val="Calibri"/>
        <family val="2"/>
        <scheme val="minor"/>
      </rPr>
      <t>out</t>
    </r>
  </si>
  <si>
    <r>
      <t>T(x, t</t>
    </r>
    <r>
      <rPr>
        <b/>
        <vertAlign val="subscript"/>
        <sz val="11"/>
        <color theme="1"/>
        <rFont val="Calibri"/>
        <family val="2"/>
        <scheme val="minor"/>
      </rPr>
      <t>i</t>
    </r>
    <r>
      <rPr>
        <b/>
        <sz val="11"/>
        <color theme="1"/>
        <rFont val="Calibri"/>
        <family val="2"/>
        <scheme val="minor"/>
      </rPr>
      <t>)</t>
    </r>
  </si>
  <si>
    <t>Accounted for</t>
  </si>
  <si>
    <t>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</si>
</sst>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 &quot;m&quot;"/>
    <numFmt numFmtId="165" formatCode="0.0\ &quot;s&quot;"/>
    <numFmt numFmtId="166" formatCode="0.0"/>
    <numFmt numFmtId="167" formatCode="0.00000"/>
    <numFmt numFmtId="168" formatCode="0.000\ &quot;m&quot;"/>
    <numFmt numFmtId="169" formatCode="0.00\ &quot;W&quot;"/>
    <numFmt numFmtId="170" formatCode="0.00\ &quot;J/s&quot;"/>
    <numFmt numFmtId="173" formatCode="0.0\ \W"/>
  </numFmts>
  <fonts count="12" x14ac:knownFonts="1">
    <font>
      <sz val="11"/>
      <color theme="1"/>
      <name val="Calibri"/>
      <family val="2"/>
      <scheme val="minor"/>
    </font>
    <font>
      <b/>
      <sz val="11"/>
      <color theme="1"/>
      <name val="Calibri"/>
      <family val="2"/>
      <scheme val="minor"/>
    </font>
    <font>
      <sz val="11"/>
      <color theme="0"/>
      <name val="Calibri"/>
      <family val="2"/>
      <scheme val="minor"/>
    </font>
    <font>
      <vertAlign val="superscript"/>
      <sz val="11"/>
      <color theme="1"/>
      <name val="Calibri"/>
      <family val="2"/>
      <scheme val="minor"/>
    </font>
    <font>
      <vertAlign val="subscript"/>
      <sz val="11"/>
      <color theme="1"/>
      <name val="Calibri"/>
      <family val="2"/>
      <scheme val="minor"/>
    </font>
    <font>
      <sz val="11"/>
      <name val="Arial"/>
      <family val="2"/>
    </font>
    <font>
      <vertAlign val="subscript"/>
      <sz val="11"/>
      <color theme="1"/>
      <name val="Calibri"/>
      <family val="2"/>
    </font>
    <font>
      <sz val="11"/>
      <color rgb="FF000000"/>
      <name val="Calibri"/>
      <family val="2"/>
    </font>
    <font>
      <b/>
      <vertAlign val="subscript"/>
      <sz val="11"/>
      <color theme="1"/>
      <name val="Calibri"/>
      <family val="2"/>
      <scheme val="minor"/>
    </font>
    <font>
      <i/>
      <sz val="11"/>
      <color theme="1"/>
      <name val="Calibri"/>
      <family val="2"/>
      <scheme val="minor"/>
    </font>
    <font>
      <sz val="11"/>
      <color theme="1"/>
      <name val="Calibri"/>
      <family val="2"/>
      <scheme val="minor"/>
    </font>
    <font>
      <sz val="11"/>
      <color rgb="FF3F3F76"/>
      <name val="Calibri"/>
      <family val="2"/>
      <scheme val="minor"/>
    </font>
  </fonts>
  <fills count="6">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rgb="FF0070C0"/>
        <bgColor indexed="64"/>
      </patternFill>
    </fill>
    <fill>
      <patternFill patternType="solid">
        <fgColor rgb="FFFFCC99"/>
      </patternFill>
    </fill>
  </fills>
  <borders count="17">
    <border>
      <left/>
      <right/>
      <top/>
      <bottom/>
      <diagonal/>
    </border>
    <border>
      <left style="thin">
        <color theme="4" tint="0.59999389629810485"/>
      </left>
      <right style="thin">
        <color theme="4" tint="0.59999389629810485"/>
      </right>
      <top style="thin">
        <color theme="4" tint="0.59999389629810485"/>
      </top>
      <bottom style="thin">
        <color theme="4" tint="0.59999389629810485"/>
      </bottom>
      <diagonal/>
    </border>
    <border>
      <left/>
      <right style="thin">
        <color theme="4" tint="0.59999389629810485"/>
      </right>
      <top style="thin">
        <color theme="4" tint="0.59999389629810485"/>
      </top>
      <bottom style="thin">
        <color theme="4" tint="0.59999389629810485"/>
      </bottom>
      <diagonal/>
    </border>
    <border>
      <left style="thin">
        <color theme="4" tint="0.59999389629810485"/>
      </left>
      <right style="thin">
        <color theme="4" tint="0.59999389629810485"/>
      </right>
      <top/>
      <bottom style="thin">
        <color theme="4" tint="0.59999389629810485"/>
      </bottom>
      <diagonal/>
    </border>
    <border>
      <left style="thin">
        <color theme="4" tint="0.59999389629810485"/>
      </left>
      <right/>
      <top style="thin">
        <color theme="4" tint="0.59999389629810485"/>
      </top>
      <bottom style="thin">
        <color theme="4" tint="0.59999389629810485"/>
      </bottom>
      <diagonal/>
    </border>
    <border>
      <left style="thin">
        <color theme="4" tint="0.59999389629810485"/>
      </left>
      <right/>
      <top/>
      <bottom style="thin">
        <color theme="4" tint="0.59999389629810485"/>
      </bottom>
      <diagonal/>
    </border>
    <border>
      <left/>
      <right style="thin">
        <color theme="4" tint="0.59999389629810485"/>
      </right>
      <top/>
      <bottom style="thin">
        <color theme="4" tint="0.59999389629810485"/>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4" tint="0.59999389629810485"/>
      </left>
      <right/>
      <top style="thin">
        <color indexed="64"/>
      </top>
      <bottom style="thin">
        <color theme="4" tint="0.59999389629810485"/>
      </bottom>
      <diagonal/>
    </border>
    <border>
      <left/>
      <right style="thin">
        <color theme="4" tint="0.59999389629810485"/>
      </right>
      <top style="thin">
        <color indexed="64"/>
      </top>
      <bottom style="thin">
        <color theme="4" tint="0.59999389629810485"/>
      </bottom>
      <diagonal/>
    </border>
    <border>
      <left style="thin">
        <color theme="4" tint="0.59999389629810485"/>
      </left>
      <right style="thin">
        <color theme="4" tint="0.59999389629810485"/>
      </right>
      <top style="thin">
        <color theme="4" tint="0.59999389629810485"/>
      </top>
      <bottom style="thin">
        <color indexed="64"/>
      </bottom>
      <diagonal/>
    </border>
    <border>
      <left style="thin">
        <color indexed="64"/>
      </left>
      <right style="thin">
        <color theme="4" tint="0.59999389629810485"/>
      </right>
      <top/>
      <bottom style="thin">
        <color indexed="64"/>
      </bottom>
      <diagonal/>
    </border>
    <border>
      <left style="thin">
        <color theme="4" tint="0.59999389629810485"/>
      </left>
      <right style="thin">
        <color theme="4" tint="0.59999389629810485"/>
      </right>
      <top/>
      <bottom style="thin">
        <color indexed="64"/>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9" fontId="10" fillId="0" borderId="0" applyFont="0" applyFill="0" applyBorder="0" applyAlignment="0" applyProtection="0"/>
    <xf numFmtId="0" fontId="11" fillId="5" borderId="16" applyNumberFormat="0" applyAlignment="0" applyProtection="0"/>
  </cellStyleXfs>
  <cellXfs count="38">
    <xf numFmtId="0" fontId="0" fillId="0" borderId="0" xfId="0"/>
    <xf numFmtId="0" fontId="0" fillId="0" borderId="1" xfId="0" applyFill="1" applyBorder="1" applyAlignment="1">
      <alignment horizontal="center" vertical="center"/>
    </xf>
    <xf numFmtId="0" fontId="0" fillId="0" borderId="1" xfId="0" applyFill="1" applyBorder="1" applyAlignment="1">
      <alignment horizontal="right"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5" fillId="0" borderId="0" xfId="0" applyFont="1" applyAlignment="1">
      <alignment horizontal="center"/>
    </xf>
    <xf numFmtId="0" fontId="0" fillId="0" borderId="3" xfId="0" applyFill="1" applyBorder="1" applyAlignment="1">
      <alignment horizontal="right" vertical="center"/>
    </xf>
    <xf numFmtId="166" fontId="0" fillId="0" borderId="1" xfId="0" applyNumberFormat="1" applyFill="1" applyBorder="1" applyAlignment="1">
      <alignment horizontal="center" vertical="center"/>
    </xf>
    <xf numFmtId="1" fontId="0" fillId="0" borderId="1" xfId="0" applyNumberFormat="1" applyFill="1" applyBorder="1" applyAlignment="1">
      <alignment horizontal="center" vertical="center"/>
    </xf>
    <xf numFmtId="2" fontId="0" fillId="0" borderId="1" xfId="0" applyNumberFormat="1" applyFill="1" applyBorder="1" applyAlignment="1">
      <alignment horizontal="center" vertical="center"/>
    </xf>
    <xf numFmtId="0" fontId="0" fillId="0" borderId="1" xfId="0" quotePrefix="1" applyFill="1" applyBorder="1" applyAlignment="1">
      <alignment horizontal="center" vertical="center"/>
    </xf>
    <xf numFmtId="167" fontId="0" fillId="0" borderId="1" xfId="0" applyNumberFormat="1" applyFill="1" applyBorder="1" applyAlignment="1">
      <alignment horizontal="center" vertical="center"/>
    </xf>
    <xf numFmtId="0" fontId="4" fillId="0" borderId="1" xfId="0" applyFont="1" applyFill="1" applyBorder="1" applyAlignment="1">
      <alignment horizontal="center" vertical="center"/>
    </xf>
    <xf numFmtId="0" fontId="2" fillId="0" borderId="1" xfId="0" applyFont="1" applyFill="1" applyBorder="1" applyAlignment="1">
      <alignment horizontal="center" vertical="center"/>
    </xf>
    <xf numFmtId="168" fontId="0" fillId="0" borderId="2" xfId="0" applyNumberFormat="1" applyFill="1" applyBorder="1" applyAlignment="1">
      <alignment horizontal="right" vertical="center"/>
    </xf>
    <xf numFmtId="0" fontId="0" fillId="2" borderId="7" xfId="0" applyFill="1" applyBorder="1" applyAlignment="1">
      <alignment horizontal="right" vertical="center"/>
    </xf>
    <xf numFmtId="165" fontId="0" fillId="2" borderId="8" xfId="0" applyNumberFormat="1" applyFill="1" applyBorder="1" applyAlignment="1">
      <alignment horizontal="left" vertical="center"/>
    </xf>
    <xf numFmtId="0" fontId="0" fillId="2" borderId="9" xfId="0" applyFill="1" applyBorder="1" applyAlignment="1">
      <alignment horizontal="right" vertical="center"/>
    </xf>
    <xf numFmtId="1" fontId="0" fillId="0" borderId="10" xfId="0" applyNumberFormat="1" applyFill="1" applyBorder="1" applyAlignment="1">
      <alignment horizontal="left" vertical="center"/>
    </xf>
    <xf numFmtId="170" fontId="1" fillId="0" borderId="13" xfId="0" applyNumberFormat="1" applyFont="1" applyFill="1" applyBorder="1" applyAlignment="1">
      <alignment horizontal="center" vertical="center"/>
    </xf>
    <xf numFmtId="169" fontId="1" fillId="0" borderId="13" xfId="0" applyNumberFormat="1" applyFont="1" applyFill="1" applyBorder="1" applyAlignment="1">
      <alignment horizontal="center" vertical="center"/>
    </xf>
    <xf numFmtId="164" fontId="0" fillId="0" borderId="6" xfId="0" applyNumberFormat="1" applyFill="1" applyBorder="1" applyAlignment="1">
      <alignment horizontal="right" vertical="center"/>
    </xf>
    <xf numFmtId="166" fontId="0" fillId="0" borderId="3" xfId="0" applyNumberFormat="1" applyFill="1" applyBorder="1" applyAlignment="1">
      <alignment horizontal="center" vertical="center"/>
    </xf>
    <xf numFmtId="2" fontId="0" fillId="0" borderId="3" xfId="0" applyNumberFormat="1" applyFill="1" applyBorder="1" applyAlignment="1">
      <alignment horizontal="center" vertical="center"/>
    </xf>
    <xf numFmtId="0" fontId="1" fillId="0" borderId="14" xfId="0" applyFont="1" applyFill="1" applyBorder="1" applyAlignment="1">
      <alignment horizontal="center" vertical="center"/>
    </xf>
    <xf numFmtId="0" fontId="1" fillId="0" borderId="15" xfId="0" applyFont="1" applyFill="1" applyBorder="1" applyAlignment="1">
      <alignment horizontal="center" vertical="center"/>
    </xf>
    <xf numFmtId="0" fontId="0" fillId="3" borderId="11" xfId="0" applyFill="1" applyBorder="1" applyAlignment="1">
      <alignment horizontal="center" vertical="center"/>
    </xf>
    <xf numFmtId="0" fontId="0" fillId="3" borderId="12" xfId="0" applyFill="1" applyBorder="1" applyAlignment="1">
      <alignment horizontal="center" vertical="center"/>
    </xf>
    <xf numFmtId="0" fontId="0" fillId="4" borderId="4" xfId="0" applyFill="1" applyBorder="1" applyAlignment="1">
      <alignment horizontal="center" vertical="center"/>
    </xf>
    <xf numFmtId="0" fontId="0" fillId="4" borderId="2" xfId="0" applyFill="1" applyBorder="1" applyAlignment="1">
      <alignment horizontal="center" vertical="center"/>
    </xf>
    <xf numFmtId="0" fontId="11" fillId="5" borderId="16" xfId="2" applyAlignment="1">
      <alignment horizontal="center" vertical="center"/>
    </xf>
    <xf numFmtId="0" fontId="0" fillId="2" borderId="0" xfId="0" applyFill="1"/>
    <xf numFmtId="0" fontId="9" fillId="0" borderId="1" xfId="0" applyFont="1" applyFill="1" applyBorder="1" applyAlignment="1">
      <alignment horizontal="right" vertical="center"/>
    </xf>
    <xf numFmtId="173" fontId="9" fillId="0" borderId="5" xfId="0" applyNumberFormat="1" applyFont="1" applyFill="1" applyBorder="1" applyAlignment="1">
      <alignment horizontal="center" vertical="center"/>
    </xf>
    <xf numFmtId="173" fontId="9" fillId="0" borderId="6" xfId="0" applyNumberFormat="1" applyFont="1" applyFill="1" applyBorder="1" applyAlignment="1">
      <alignment horizontal="center" vertical="center"/>
    </xf>
    <xf numFmtId="10" fontId="9" fillId="0" borderId="5" xfId="1" applyNumberFormat="1" applyFont="1" applyFill="1" applyBorder="1" applyAlignment="1">
      <alignment horizontal="center" vertical="center"/>
    </xf>
    <xf numFmtId="10" fontId="9" fillId="0" borderId="6" xfId="1" applyNumberFormat="1" applyFont="1" applyFill="1" applyBorder="1" applyAlignment="1">
      <alignment horizontal="center" vertical="center"/>
    </xf>
  </cellXfs>
  <cellStyles count="3">
    <cellStyle name="Input" xfId="2" builtinId="20"/>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133348</xdr:rowOff>
    </xdr:from>
    <xdr:ext cx="8010525" cy="5286377"/>
    <xdr:sp macro="" textlink="">
      <xdr:nvSpPr>
        <xdr:cNvPr id="2" name="TextBox 1">
          <a:extLst>
            <a:ext uri="{FF2B5EF4-FFF2-40B4-BE49-F238E27FC236}">
              <a16:creationId xmlns:a16="http://schemas.microsoft.com/office/drawing/2014/main" id="{DC9C328C-EB28-49E6-B144-DD7011CFC622}"/>
            </a:ext>
          </a:extLst>
        </xdr:cNvPr>
        <xdr:cNvSpPr txBox="1"/>
      </xdr:nvSpPr>
      <xdr:spPr>
        <a:xfrm>
          <a:off x="609600" y="323848"/>
          <a:ext cx="8010525" cy="52863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This spreadsheet is</a:t>
          </a:r>
          <a:r>
            <a:rPr lang="en-US" sz="1100" baseline="0"/>
            <a:t> a simple example of thermal finite element analysis, implemented with standard excel functions. A cylindrical rod with a constant heat source at one end is modeled using input material properties. </a:t>
          </a:r>
          <a:r>
            <a:rPr lang="en-US" sz="1100" b="1" baseline="0"/>
            <a:t>Important: </a:t>
          </a:r>
          <a:r>
            <a:rPr lang="en-US" sz="1100" b="0" baseline="0"/>
            <a:t>this sheet relies heavily on recursion with excel's iterative calculation capabilities. For the sim to run properly, please navigate to File-&gt;Options-&gt;Formulas and set the following:</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r>
            <a:rPr lang="en-US" sz="1100"/>
            <a:t>In Fundamentals of Heat and Mass Transfer, Frank P. Incropera, a method is described for modeling </a:t>
          </a:r>
          <a:r>
            <a:rPr lang="en-US" sz="1100" baseline="0"/>
            <a:t>steady-state thermal fluxes in excel or a similar numerical tool. This sheet is an attempt to generalize this method from steady-state applications to transient analysis, by introducing an iterative time-step.</a:t>
          </a:r>
        </a:p>
        <a:p>
          <a:endParaRPr lang="en-US" sz="1100" baseline="0"/>
        </a:p>
        <a:p>
          <a:r>
            <a:rPr lang="en-US" sz="1100" baseline="0"/>
            <a:t>At each time-step t_i, the model calculates the total increase of the rod's internal energy dU/dt as well as the energy released to the environment Q_out:</a:t>
          </a:r>
        </a:p>
        <a:p>
          <a:endParaRPr lang="en-US" sz="1100" baseline="0"/>
        </a:p>
        <a:p>
          <a:endParaRPr lang="en-US" sz="1100" baseline="0"/>
        </a:p>
        <a:p>
          <a:endParaRPr lang="en-US" sz="1100"/>
        </a:p>
        <a:p>
          <a:endParaRPr lang="en-US" sz="1100"/>
        </a:p>
        <a:p>
          <a:endParaRPr lang="en-US" sz="1100"/>
        </a:p>
        <a:p>
          <a:endParaRPr lang="en-US" sz="1100"/>
        </a:p>
        <a:p>
          <a:endParaRPr lang="en-US" sz="1100"/>
        </a:p>
        <a:p>
          <a:r>
            <a:rPr lang="en-US" sz="1100"/>
            <a:t>To obey</a:t>
          </a:r>
          <a:r>
            <a:rPr lang="en-US" sz="1100" baseline="0"/>
            <a:t> the First Law, </a:t>
          </a:r>
          <a:r>
            <a:rPr lang="en-US" sz="1100" b="1" baseline="0"/>
            <a:t>dU/dt </a:t>
          </a:r>
          <a:r>
            <a:rPr lang="en-US" sz="1100" baseline="0"/>
            <a:t>+ </a:t>
          </a:r>
          <a:r>
            <a:rPr lang="en-US" sz="1100" b="1" baseline="0"/>
            <a:t>Q_out </a:t>
          </a:r>
          <a:r>
            <a:rPr lang="en-US" sz="1100" baseline="0"/>
            <a:t>= </a:t>
          </a:r>
          <a:r>
            <a:rPr lang="en-US" sz="1100" b="1" baseline="0"/>
            <a:t>Q_in</a:t>
          </a:r>
          <a:r>
            <a:rPr lang="en-US" sz="1100" baseline="0"/>
            <a:t>. Therefore, this output describes the model's error. If the fluxes accounted for deviate significantly from the input heat applied, reduce either the volume of each slice or the duration of the time-step.</a:t>
          </a:r>
          <a:endParaRPr lang="en-US" sz="1100"/>
        </a:p>
      </xdr:txBody>
    </xdr:sp>
    <xdr:clientData/>
  </xdr:oneCellAnchor>
  <xdr:twoCellAnchor editAs="oneCell">
    <xdr:from>
      <xdr:col>5</xdr:col>
      <xdr:colOff>476250</xdr:colOff>
      <xdr:row>5</xdr:row>
      <xdr:rowOff>123825</xdr:rowOff>
    </xdr:from>
    <xdr:to>
      <xdr:col>9</xdr:col>
      <xdr:colOff>409575</xdr:colOff>
      <xdr:row>10</xdr:row>
      <xdr:rowOff>9525</xdr:rowOff>
    </xdr:to>
    <xdr:pic>
      <xdr:nvPicPr>
        <xdr:cNvPr id="3" name="Picture 2">
          <a:extLst>
            <a:ext uri="{FF2B5EF4-FFF2-40B4-BE49-F238E27FC236}">
              <a16:creationId xmlns:a16="http://schemas.microsoft.com/office/drawing/2014/main" id="{6A2A0DA2-F253-4943-BF74-35F7DFE7F8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0" y="1076325"/>
          <a:ext cx="2371725" cy="838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590550</xdr:colOff>
      <xdr:row>15</xdr:row>
      <xdr:rowOff>180975</xdr:rowOff>
    </xdr:from>
    <xdr:to>
      <xdr:col>9</xdr:col>
      <xdr:colOff>304800</xdr:colOff>
      <xdr:row>21</xdr:row>
      <xdr:rowOff>123825</xdr:rowOff>
    </xdr:to>
    <xdr:pic>
      <xdr:nvPicPr>
        <xdr:cNvPr id="4" name="Picture 3">
          <a:extLst>
            <a:ext uri="{FF2B5EF4-FFF2-40B4-BE49-F238E27FC236}">
              <a16:creationId xmlns:a16="http://schemas.microsoft.com/office/drawing/2014/main" id="{5E6F79A3-F288-4B68-89AE-D38139B6E98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8950" y="3038475"/>
          <a:ext cx="27622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228600</xdr:colOff>
          <xdr:row>2</xdr:row>
          <xdr:rowOff>0</xdr:rowOff>
        </xdr:from>
        <xdr:to>
          <xdr:col>19</xdr:col>
          <xdr:colOff>381000</xdr:colOff>
          <xdr:row>3</xdr:row>
          <xdr:rowOff>19050</xdr:rowOff>
        </xdr:to>
        <xdr:sp macro="" textlink="">
          <xdr:nvSpPr>
            <xdr:cNvPr id="1025" name="do"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B62B-EF74-48D6-99DB-BBDD0A132973}">
  <dimension ref="A1"/>
  <sheetViews>
    <sheetView tabSelected="1" workbookViewId="0"/>
  </sheetViews>
  <sheetFormatPr defaultRowHeight="15" x14ac:dyDescent="0.25"/>
  <cols>
    <col min="1" max="16384" width="9.140625" style="32"/>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5"/>
  <sheetViews>
    <sheetView zoomScaleNormal="100" workbookViewId="0"/>
  </sheetViews>
  <sheetFormatPr defaultRowHeight="17.25" customHeight="1" x14ac:dyDescent="0.25"/>
  <cols>
    <col min="1" max="1" width="3.140625" style="3" bestFit="1" customWidth="1"/>
    <col min="2" max="2" width="6.85546875" style="1" bestFit="1" customWidth="1"/>
    <col min="3" max="4" width="9.140625" style="1"/>
    <col min="5" max="6" width="11.42578125" style="1" customWidth="1"/>
    <col min="7" max="7" width="14" style="1" customWidth="1"/>
    <col min="8" max="17" width="11.42578125" style="1" hidden="1" customWidth="1"/>
    <col min="18" max="18" width="2.5703125" style="1" customWidth="1"/>
    <col min="19" max="19" width="5.85546875" style="1" customWidth="1"/>
    <col min="20" max="21" width="9.140625" style="1"/>
    <col min="22" max="22" width="9.140625" style="2"/>
    <col min="23" max="23" width="5.7109375" style="1" bestFit="1" customWidth="1"/>
    <col min="24" max="24" width="9.140625" style="1"/>
    <col min="25" max="25" width="7.28515625" style="1" bestFit="1" customWidth="1"/>
    <col min="26" max="26" width="9.140625" style="1"/>
    <col min="27" max="27" width="10.140625" style="1" bestFit="1" customWidth="1"/>
    <col min="28" max="28" width="11.28515625" style="1" customWidth="1"/>
    <col min="29" max="29" width="4.85546875" style="1" customWidth="1"/>
    <col min="30" max="16384" width="9.140625" style="1"/>
  </cols>
  <sheetData>
    <row r="1" spans="1:31" s="5" customFormat="1" ht="17.25" customHeight="1" x14ac:dyDescent="0.25">
      <c r="A1" s="16" t="s">
        <v>40</v>
      </c>
      <c r="B1" s="17">
        <f ca="1">B2*X11</f>
        <v>90.01</v>
      </c>
      <c r="C1" s="25" t="s">
        <v>5</v>
      </c>
      <c r="D1" s="26" t="s">
        <v>44</v>
      </c>
      <c r="E1" s="26" t="s">
        <v>43</v>
      </c>
      <c r="F1" s="26" t="s">
        <v>45</v>
      </c>
      <c r="G1" s="26" t="s">
        <v>46</v>
      </c>
      <c r="V1" s="7"/>
    </row>
    <row r="2" spans="1:31" ht="17.25" customHeight="1" x14ac:dyDescent="0.2">
      <c r="A2" s="18" t="s">
        <v>10</v>
      </c>
      <c r="B2" s="19">
        <f ca="1">B2 + 1</f>
        <v>9002</v>
      </c>
      <c r="C2" s="22">
        <v>0</v>
      </c>
      <c r="D2" s="23">
        <f ca="1">G2</f>
        <v>489.05281591368799</v>
      </c>
      <c r="E2" s="24">
        <f ca="1">$X$9 + ($X$7-D2)*($AD$7/2 + $AD$6)*$X$8 + (D3-D2)*$AD$6*$X$2/(C3-C2)</f>
        <v>2.5108902840498288</v>
      </c>
      <c r="F2" s="24">
        <f ca="1">(D2-$X$7)*($AD$7/2 + $AD$6)*$X$8</f>
        <v>4.4544520321117931</v>
      </c>
      <c r="G2" s="23">
        <f ca="1">D2 + E2*$X$11/(2*$AD$3)</f>
        <v>489.05939403056482</v>
      </c>
      <c r="H2" s="6"/>
      <c r="I2" s="6"/>
      <c r="J2" s="6"/>
      <c r="K2" s="6"/>
      <c r="L2" s="6"/>
      <c r="M2" s="6"/>
      <c r="N2" s="6"/>
      <c r="O2" s="6"/>
      <c r="P2" s="6"/>
      <c r="Q2" s="6"/>
      <c r="R2" s="6" t="s">
        <v>11</v>
      </c>
      <c r="S2" s="5"/>
      <c r="V2" s="2" t="s">
        <v>4</v>
      </c>
      <c r="W2" s="1" t="s">
        <v>0</v>
      </c>
      <c r="X2" s="31">
        <v>208</v>
      </c>
      <c r="Y2" s="1" t="s">
        <v>1</v>
      </c>
    </row>
    <row r="3" spans="1:31" ht="17.25" customHeight="1" x14ac:dyDescent="0.25">
      <c r="A3" s="27">
        <v>600</v>
      </c>
      <c r="B3" s="28"/>
      <c r="C3" s="15">
        <v>0.01</v>
      </c>
      <c r="D3" s="23">
        <f t="shared" ref="D3:D12" ca="1" si="0">G3</f>
        <v>462.7162758774499</v>
      </c>
      <c r="E3" s="10">
        <f ca="1">($X$7-D3)*$AD$7*$X$8 + (D4-D3)*$AD$6*$X$2/(C4-C3) + (D2-D3)*$AD$6*$X$2/(C3-C2)</f>
        <v>1.2316165626023121</v>
      </c>
      <c r="F3" s="10">
        <f ca="1">(D3-$X$7)*$AD$7*$X$8</f>
        <v>5.1118825691608683</v>
      </c>
      <c r="G3" s="8">
        <f ca="1">D3 + E3*$X$11/$AD$3</f>
        <v>462.72272914045999</v>
      </c>
      <c r="H3" s="9"/>
      <c r="I3" s="9"/>
      <c r="J3" s="9"/>
      <c r="K3" s="9"/>
      <c r="L3" s="9"/>
      <c r="M3" s="9"/>
      <c r="N3" s="9"/>
      <c r="O3" s="9"/>
      <c r="P3" s="9"/>
      <c r="Q3" s="9"/>
      <c r="R3" s="9"/>
      <c r="V3" s="2" t="s">
        <v>7</v>
      </c>
      <c r="W3" s="1" t="s">
        <v>8</v>
      </c>
      <c r="X3" s="31">
        <v>900</v>
      </c>
      <c r="Y3" s="1" t="s">
        <v>9</v>
      </c>
      <c r="Z3" s="11" t="s">
        <v>25</v>
      </c>
      <c r="AB3" s="2" t="s">
        <v>37</v>
      </c>
      <c r="AC3" s="1" t="s">
        <v>38</v>
      </c>
      <c r="AD3" s="10">
        <f>X3*X4*AD6*(C3-C2)</f>
        <v>1.9085175370557994</v>
      </c>
      <c r="AE3" s="1" t="s">
        <v>39</v>
      </c>
    </row>
    <row r="4" spans="1:31" ht="17.25" customHeight="1" x14ac:dyDescent="0.25">
      <c r="A4" s="29">
        <v>300</v>
      </c>
      <c r="B4" s="30"/>
      <c r="C4" s="15">
        <v>0.02</v>
      </c>
      <c r="D4" s="23">
        <f t="shared" ca="1" si="0"/>
        <v>440.26915595979534</v>
      </c>
      <c r="E4" s="10">
        <f ca="1">($X$7-D4)*$AD$7*$X$8 + (D5-D4)*$AD$6*$X$2/(C5-C4) + (D3-D4)*$AD$6*$X$2/(C4-C3)</f>
        <v>1.2109966920595099</v>
      </c>
      <c r="F4" s="10">
        <f t="shared" ref="F4:F11" ca="1" si="1">(D4-$X$7)*$AD$7*$X$8</f>
        <v>4.4066854988853406</v>
      </c>
      <c r="G4" s="8">
        <f t="shared" ref="G4:G11" ca="1" si="2">D4 + E4*$X$11/$AD$3</f>
        <v>440.27550118151089</v>
      </c>
      <c r="H4" s="9"/>
      <c r="I4" s="9"/>
      <c r="J4" s="9"/>
      <c r="K4" s="9"/>
      <c r="L4" s="9"/>
      <c r="M4" s="9"/>
      <c r="N4" s="9"/>
      <c r="O4" s="9"/>
      <c r="P4" s="9"/>
      <c r="Q4" s="9"/>
      <c r="R4" s="9"/>
      <c r="V4" s="2" t="s">
        <v>18</v>
      </c>
      <c r="W4" s="1" t="s">
        <v>27</v>
      </c>
      <c r="X4" s="31">
        <v>2700</v>
      </c>
      <c r="Y4" s="1" t="s">
        <v>28</v>
      </c>
      <c r="Z4" s="11" t="s">
        <v>25</v>
      </c>
      <c r="AB4" s="2" t="s">
        <v>29</v>
      </c>
      <c r="AD4" s="1">
        <f>X2/X3/X4</f>
        <v>8.559670781893004E-5</v>
      </c>
      <c r="AE4" s="1" t="s">
        <v>30</v>
      </c>
    </row>
    <row r="5" spans="1:31" ht="17.25" customHeight="1" x14ac:dyDescent="0.25">
      <c r="C5" s="15">
        <v>0.03</v>
      </c>
      <c r="D5" s="23">
        <f t="shared" ca="1" si="0"/>
        <v>421.26706847407485</v>
      </c>
      <c r="E5" s="10">
        <f t="shared" ref="E4:E11" ca="1" si="3">($X$7-D5)*$AD$7*$X$8 + (D6-D5)*$AD$6*$X$2/(C6-C5) + (D4-D5)*$AD$6*$X$2/(C5-C4)</f>
        <v>1.1937924634909116</v>
      </c>
      <c r="F5" s="10">
        <f t="shared" ca="1" si="1"/>
        <v>3.8097173144052401</v>
      </c>
      <c r="G5" s="8">
        <f t="shared" ca="1" si="2"/>
        <v>421.27332355132887</v>
      </c>
      <c r="H5" s="9"/>
      <c r="I5" s="9"/>
      <c r="J5" s="9"/>
      <c r="K5" s="9"/>
      <c r="L5" s="9"/>
      <c r="M5" s="9"/>
      <c r="N5" s="9"/>
      <c r="O5" s="9"/>
      <c r="P5" s="9"/>
      <c r="Q5" s="9"/>
      <c r="R5" s="9"/>
    </row>
    <row r="6" spans="1:31" ht="17.25" customHeight="1" x14ac:dyDescent="0.25">
      <c r="A6" s="4"/>
      <c r="C6" s="15">
        <v>0.04</v>
      </c>
      <c r="D6" s="23">
        <f t="shared" ca="1" si="0"/>
        <v>405.33398654949991</v>
      </c>
      <c r="E6" s="10">
        <f t="shared" ca="1" si="3"/>
        <v>1.1802830357791763</v>
      </c>
      <c r="F6" s="10">
        <f t="shared" ca="1" si="1"/>
        <v>3.3091647831723505</v>
      </c>
      <c r="G6" s="8">
        <f t="shared" ca="1" si="2"/>
        <v>405.34017084182557</v>
      </c>
      <c r="H6" s="9"/>
      <c r="I6" s="9"/>
      <c r="J6" s="9"/>
      <c r="K6" s="9"/>
      <c r="L6" s="9"/>
      <c r="M6" s="9"/>
      <c r="N6" s="9"/>
      <c r="O6" s="9"/>
      <c r="P6" s="9"/>
      <c r="Q6" s="9"/>
      <c r="R6" s="9"/>
      <c r="S6" s="14"/>
      <c r="V6" s="2" t="s">
        <v>23</v>
      </c>
      <c r="W6" s="1" t="s">
        <v>24</v>
      </c>
      <c r="X6" s="31">
        <v>0.01</v>
      </c>
      <c r="Y6" s="1" t="s">
        <v>26</v>
      </c>
      <c r="Z6" s="11" t="s">
        <v>25</v>
      </c>
      <c r="AB6" s="2" t="s">
        <v>3</v>
      </c>
      <c r="AC6" s="1" t="s">
        <v>36</v>
      </c>
      <c r="AD6" s="12">
        <f>X6^2*PI()/4</f>
        <v>7.8539816339744827E-5</v>
      </c>
      <c r="AE6" s="1" t="s">
        <v>2</v>
      </c>
    </row>
    <row r="7" spans="1:31" ht="17.25" customHeight="1" x14ac:dyDescent="0.25">
      <c r="A7" s="4"/>
      <c r="C7" s="15">
        <v>0.05</v>
      </c>
      <c r="D7" s="23">
        <f t="shared" ca="1" si="0"/>
        <v>392.15518548053603</v>
      </c>
      <c r="E7" s="10">
        <f t="shared" ca="1" si="3"/>
        <v>1.1708026823320203</v>
      </c>
      <c r="F7" s="10">
        <f t="shared" ca="1" si="1"/>
        <v>2.8951405369585679</v>
      </c>
      <c r="G7" s="8">
        <f t="shared" ca="1" si="2"/>
        <v>392.16132009894847</v>
      </c>
      <c r="H7" s="9"/>
      <c r="I7" s="9"/>
      <c r="J7" s="9"/>
      <c r="K7" s="9"/>
      <c r="L7" s="9"/>
      <c r="M7" s="9"/>
      <c r="N7" s="9"/>
      <c r="O7" s="9"/>
      <c r="P7" s="9"/>
      <c r="Q7" s="9"/>
      <c r="R7" s="9"/>
      <c r="V7" s="2" t="s">
        <v>33</v>
      </c>
      <c r="W7" s="1" t="s">
        <v>19</v>
      </c>
      <c r="X7" s="31">
        <v>300</v>
      </c>
      <c r="Y7" s="1" t="s">
        <v>6</v>
      </c>
      <c r="AB7" s="2" t="s">
        <v>34</v>
      </c>
      <c r="AC7" s="1" t="s">
        <v>35</v>
      </c>
      <c r="AD7" s="1">
        <f>X6*PI()*(C3-C2)</f>
        <v>3.1415926535897936E-4</v>
      </c>
      <c r="AE7" s="1" t="s">
        <v>2</v>
      </c>
    </row>
    <row r="8" spans="1:31" ht="17.25" customHeight="1" x14ac:dyDescent="0.25">
      <c r="A8" s="4"/>
      <c r="C8" s="15">
        <v>0.06</v>
      </c>
      <c r="D8" s="23">
        <f t="shared" ca="1" si="0"/>
        <v>381.47139689055513</v>
      </c>
      <c r="E8" s="10">
        <f t="shared" ca="1" si="3"/>
        <v>1.1657217275953968</v>
      </c>
      <c r="F8" s="10">
        <f t="shared" ca="1" si="1"/>
        <v>2.5594994194906637</v>
      </c>
      <c r="G8" s="8">
        <f t="shared" ca="1" si="2"/>
        <v>381.47750488644704</v>
      </c>
      <c r="H8" s="9"/>
      <c r="I8" s="9"/>
      <c r="J8" s="9"/>
      <c r="K8" s="9"/>
      <c r="L8" s="9"/>
      <c r="M8" s="9"/>
      <c r="N8" s="9"/>
      <c r="O8" s="9"/>
      <c r="P8" s="9"/>
      <c r="Q8" s="9"/>
      <c r="R8" s="9"/>
      <c r="V8" s="2" t="s">
        <v>20</v>
      </c>
      <c r="W8" s="1" t="s">
        <v>21</v>
      </c>
      <c r="X8" s="31">
        <v>100</v>
      </c>
      <c r="Y8" s="1" t="s">
        <v>22</v>
      </c>
    </row>
    <row r="9" spans="1:31" ht="17.25" customHeight="1" x14ac:dyDescent="0.25">
      <c r="C9" s="15">
        <v>7.0000000000000007E-2</v>
      </c>
      <c r="D9" s="23">
        <f t="shared" ca="1" si="0"/>
        <v>373.07405151545612</v>
      </c>
      <c r="E9" s="10">
        <f t="shared" ca="1" si="3"/>
        <v>1.1654265303189977</v>
      </c>
      <c r="F9" s="10">
        <f t="shared" ca="1" si="1"/>
        <v>2.2956890340899907</v>
      </c>
      <c r="G9" s="8">
        <f t="shared" ca="1" si="2"/>
        <v>373.08015796461206</v>
      </c>
      <c r="H9" s="9"/>
      <c r="I9" s="9"/>
      <c r="J9" s="9"/>
      <c r="K9" s="9"/>
      <c r="L9" s="9"/>
      <c r="M9" s="9"/>
      <c r="N9" s="9"/>
      <c r="O9" s="9"/>
      <c r="P9" s="9"/>
      <c r="Q9" s="9"/>
      <c r="R9" s="9"/>
      <c r="V9" s="2" t="s">
        <v>16</v>
      </c>
      <c r="W9" s="1" t="s">
        <v>14</v>
      </c>
      <c r="X9" s="31">
        <v>50</v>
      </c>
      <c r="Y9" s="1" t="s">
        <v>15</v>
      </c>
    </row>
    <row r="10" spans="1:31" ht="17.25" customHeight="1" x14ac:dyDescent="0.25">
      <c r="C10" s="15">
        <v>0.08</v>
      </c>
      <c r="D10" s="23">
        <f t="shared" ca="1" si="0"/>
        <v>366.80150676496453</v>
      </c>
      <c r="E10" s="10">
        <f t="shared" ca="1" si="3"/>
        <v>1.170299565529259</v>
      </c>
      <c r="F10" s="10">
        <f t="shared" ca="1" si="1"/>
        <v>2.0986312290154148</v>
      </c>
      <c r="G10" s="8">
        <f t="shared" ca="1" si="2"/>
        <v>366.80763874721151</v>
      </c>
      <c r="H10" s="9"/>
      <c r="I10" s="9"/>
      <c r="J10" s="9"/>
      <c r="K10" s="9"/>
      <c r="L10" s="9"/>
      <c r="M10" s="9"/>
      <c r="N10" s="9"/>
      <c r="O10" s="9"/>
      <c r="P10" s="9"/>
      <c r="Q10" s="9"/>
      <c r="R10" s="9"/>
    </row>
    <row r="11" spans="1:31" ht="17.25" customHeight="1" x14ac:dyDescent="0.25">
      <c r="C11" s="15">
        <v>0.09</v>
      </c>
      <c r="D11" s="23">
        <f t="shared" ca="1" si="0"/>
        <v>362.53617422379568</v>
      </c>
      <c r="E11" s="10">
        <f t="shared" ca="1" si="3"/>
        <v>1.1807006548199315</v>
      </c>
      <c r="F11" s="10">
        <f t="shared" ca="1" si="1"/>
        <v>1.9646318552508795</v>
      </c>
      <c r="G11" s="8">
        <f t="shared" ca="1" si="2"/>
        <v>362.54236070430682</v>
      </c>
      <c r="H11" s="9"/>
      <c r="I11" s="9"/>
      <c r="J11" s="9"/>
      <c r="K11" s="9"/>
      <c r="L11" s="9"/>
      <c r="M11" s="9"/>
      <c r="N11" s="9"/>
      <c r="O11" s="9"/>
      <c r="P11" s="9"/>
      <c r="Q11" s="9"/>
      <c r="R11" s="9"/>
      <c r="V11" s="2" t="s">
        <v>12</v>
      </c>
      <c r="W11" s="1" t="s">
        <v>17</v>
      </c>
      <c r="X11" s="31">
        <v>0.01</v>
      </c>
      <c r="Y11" s="1" t="s">
        <v>13</v>
      </c>
    </row>
    <row r="12" spans="1:31" ht="17.25" customHeight="1" x14ac:dyDescent="0.25">
      <c r="C12" s="15">
        <v>0.1</v>
      </c>
      <c r="D12" s="23">
        <f t="shared" ca="1" si="0"/>
        <v>360.20248027554868</v>
      </c>
      <c r="E12" s="10">
        <f ca="1">($X$7-D12)*($AD$7/2 + $AD$6)*$X$8 + (D11-D12)*$AD$6*$X$2/(C12-C11)</f>
        <v>2.3939006738290516</v>
      </c>
      <c r="F12" s="10">
        <f ca="1">(D12-$X$7)*($AD$7/2 + $AD$6)*$X$8</f>
        <v>1.4184875232116114</v>
      </c>
      <c r="G12" s="8">
        <f ca="1">D12 + E12*$X$11/(2*$AD$3)</f>
        <v>360.20875189901386</v>
      </c>
      <c r="H12" s="9"/>
      <c r="I12" s="9"/>
      <c r="J12" s="9"/>
      <c r="K12" s="9"/>
      <c r="L12" s="9"/>
      <c r="M12" s="9"/>
      <c r="N12" s="9"/>
      <c r="O12" s="9"/>
      <c r="P12" s="9"/>
      <c r="Q12" s="9"/>
      <c r="R12" s="9"/>
      <c r="V12" s="2" t="s">
        <v>32</v>
      </c>
      <c r="W12" s="13" t="s">
        <v>31</v>
      </c>
      <c r="X12" s="31">
        <v>90</v>
      </c>
      <c r="Y12" s="1" t="s">
        <v>13</v>
      </c>
      <c r="Z12" s="11" t="s">
        <v>25</v>
      </c>
      <c r="AC12" s="13" t="s">
        <v>42</v>
      </c>
      <c r="AD12" s="1">
        <f>X12/X11+1</f>
        <v>9001</v>
      </c>
    </row>
    <row r="13" spans="1:31" ht="17.25" customHeight="1" x14ac:dyDescent="0.25">
      <c r="D13" s="1" t="s">
        <v>41</v>
      </c>
      <c r="E13" s="20">
        <f ca="1">SUM(E2:E12)</f>
        <v>15.574430872406396</v>
      </c>
      <c r="F13" s="21">
        <f ca="1">SUM(F2:F12)</f>
        <v>34.323981795752722</v>
      </c>
      <c r="G13" s="1" t="s">
        <v>41</v>
      </c>
    </row>
    <row r="14" spans="1:31" ht="17.25" customHeight="1" x14ac:dyDescent="0.25">
      <c r="D14" s="33" t="s">
        <v>47</v>
      </c>
      <c r="E14" s="34">
        <f ca="1">E13+F13</f>
        <v>49.898412668159118</v>
      </c>
      <c r="F14" s="35"/>
    </row>
    <row r="15" spans="1:31" ht="17.25" customHeight="1" x14ac:dyDescent="0.25">
      <c r="D15" s="33" t="s">
        <v>48</v>
      </c>
      <c r="E15" s="36">
        <f ca="1">ABS(E14 - X9)/X9</f>
        <v>2.0317466368176438E-3</v>
      </c>
      <c r="F15" s="37"/>
    </row>
  </sheetData>
  <mergeCells count="4">
    <mergeCell ref="E14:F14"/>
    <mergeCell ref="A3:B3"/>
    <mergeCell ref="A4:B4"/>
    <mergeCell ref="E15:F15"/>
  </mergeCells>
  <conditionalFormatting sqref="D2:D12 G2:G12">
    <cfRule type="colorScale" priority="4">
      <colorScale>
        <cfvo type="num" val="$A$4"/>
        <cfvo type="num" val="$A$3"/>
        <color theme="4" tint="-0.249977111117893"/>
        <color rgb="FFFF000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o">
              <controlPr defaultSize="0" print="0" autoFill="0" autoPict="0" macro="[0]!Start">
                <anchor moveWithCells="1">
                  <from>
                    <xdr:col>18</xdr:col>
                    <xdr:colOff>228600</xdr:colOff>
                    <xdr:row>2</xdr:row>
                    <xdr:rowOff>0</xdr:rowOff>
                  </from>
                  <to>
                    <xdr:col>19</xdr:col>
                    <xdr:colOff>381000</xdr:colOff>
                    <xdr:row>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Notes</vt:lpstr>
      <vt:lpstr>Sim</vt:lpstr>
    </vt:vector>
  </TitlesOfParts>
  <Company>diakov.net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Yonkman</dc:creator>
  <cp:lastModifiedBy>Trevor Yonkman</cp:lastModifiedBy>
  <dcterms:created xsi:type="dcterms:W3CDTF">2017-11-27T01:40:01Z</dcterms:created>
  <dcterms:modified xsi:type="dcterms:W3CDTF">2019-02-25T00:44:44Z</dcterms:modified>
</cp:coreProperties>
</file>